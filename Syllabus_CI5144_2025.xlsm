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crgue\Dropbox\Cursos\Demanda De Transporte\2025\Estudios de Caso Demanda\"/>
    </mc:Choice>
  </mc:AlternateContent>
  <xr:revisionPtr revIDLastSave="0" documentId="13_ncr:1_{83CDDE97-B36E-4AAB-864B-9D05CB89D9F7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2025" sheetId="14" r:id="rId1"/>
    <sheet name="2024" sheetId="1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8" i="14" l="1"/>
  <c r="A5" i="14"/>
  <c r="C6" i="14"/>
  <c r="C7" i="14" s="1"/>
  <c r="C9" i="14" s="1"/>
  <c r="C10" i="14" s="1"/>
  <c r="C12" i="14" s="1"/>
  <c r="C13" i="14" s="1"/>
  <c r="C15" i="14" s="1"/>
  <c r="C16" i="14" s="1"/>
  <c r="C18" i="14" s="1"/>
  <c r="C22" i="14" s="1"/>
  <c r="C24" i="14" s="1"/>
  <c r="A7" i="14"/>
  <c r="A10" i="14" s="1"/>
  <c r="A13" i="14" s="1"/>
  <c r="A16" i="14" s="1"/>
  <c r="A19" i="14" s="1"/>
  <c r="A22" i="14" s="1"/>
  <c r="A25" i="14" s="1"/>
  <c r="A28" i="14" s="1"/>
  <c r="A31" i="14" s="1"/>
  <c r="A34" i="14" s="1"/>
  <c r="A37" i="14" s="1"/>
  <c r="A40" i="14" s="1"/>
  <c r="A43" i="14" s="1"/>
  <c r="A46" i="14" s="1"/>
  <c r="A49" i="14" s="1"/>
  <c r="A52" i="14" s="1"/>
  <c r="A53" i="14" s="1"/>
  <c r="A6" i="14"/>
  <c r="A9" i="14" s="1"/>
  <c r="A12" i="14" s="1"/>
  <c r="A15" i="14" s="1"/>
  <c r="A18" i="14" s="1"/>
  <c r="A21" i="14" s="1"/>
  <c r="A24" i="14" s="1"/>
  <c r="B11" i="13"/>
  <c r="A7" i="13"/>
  <c r="A10" i="13" s="1"/>
  <c r="A13" i="13" s="1"/>
  <c r="A16" i="13" s="1"/>
  <c r="A19" i="13" s="1"/>
  <c r="A22" i="13" s="1"/>
  <c r="A25" i="13" s="1"/>
  <c r="A28" i="13" s="1"/>
  <c r="A31" i="13" s="1"/>
  <c r="A34" i="13" s="1"/>
  <c r="A37" i="13" s="1"/>
  <c r="A40" i="13" s="1"/>
  <c r="A43" i="13" s="1"/>
  <c r="A46" i="13" s="1"/>
  <c r="A49" i="13" s="1"/>
  <c r="A52" i="13" s="1"/>
  <c r="A5" i="13"/>
  <c r="A6" i="13" s="1"/>
  <c r="C30" i="14" l="1"/>
  <c r="C31" i="14" s="1"/>
  <c r="C33" i="14" s="1"/>
  <c r="C37" i="14" s="1"/>
  <c r="C39" i="14" s="1"/>
  <c r="C40" i="14" s="1"/>
  <c r="C42" i="14" s="1"/>
  <c r="C43" i="14" s="1"/>
  <c r="C45" i="14" s="1"/>
  <c r="C46" i="14" s="1"/>
  <c r="C48" i="14" s="1"/>
  <c r="C49" i="14" s="1"/>
  <c r="C51" i="14" s="1"/>
  <c r="C52" i="14" s="1"/>
  <c r="C54" i="14" s="1"/>
  <c r="A50" i="14"/>
  <c r="A47" i="14"/>
  <c r="A44" i="14"/>
  <c r="A41" i="14"/>
  <c r="A38" i="14"/>
  <c r="A35" i="14"/>
  <c r="A32" i="14"/>
  <c r="A29" i="14"/>
  <c r="A26" i="14"/>
  <c r="A27" i="14"/>
  <c r="A30" i="14" s="1"/>
  <c r="A33" i="14" s="1"/>
  <c r="A36" i="14" s="1"/>
  <c r="A39" i="14" s="1"/>
  <c r="A42" i="14" s="1"/>
  <c r="A45" i="14" s="1"/>
  <c r="A48" i="14" s="1"/>
  <c r="A51" i="14" s="1"/>
  <c r="A54" i="14" s="1"/>
  <c r="A20" i="14"/>
  <c r="A23" i="14"/>
  <c r="A14" i="14"/>
  <c r="A11" i="14"/>
  <c r="A17" i="14"/>
  <c r="A8" i="14"/>
  <c r="B16" i="13"/>
  <c r="B17" i="13" s="1"/>
  <c r="B32" i="13" s="1"/>
  <c r="A8" i="13"/>
  <c r="A9" i="13" s="1"/>
  <c r="B35" i="13" l="1"/>
  <c r="B37" i="13" s="1"/>
  <c r="B38" i="13" s="1"/>
  <c r="B40" i="13" s="1"/>
  <c r="B41" i="13" s="1"/>
  <c r="B43" i="13" s="1"/>
  <c r="B44" i="13" s="1"/>
  <c r="A11" i="13"/>
  <c r="A14" i="13" s="1"/>
  <c r="A17" i="13" s="1"/>
  <c r="A20" i="13" s="1"/>
  <c r="A23" i="13" s="1"/>
  <c r="A26" i="13" s="1"/>
  <c r="A29" i="13" s="1"/>
  <c r="A32" i="13" s="1"/>
  <c r="A35" i="13" s="1"/>
  <c r="A38" i="13" s="1"/>
  <c r="A41" i="13" s="1"/>
  <c r="A44" i="13" s="1"/>
  <c r="A47" i="13" s="1"/>
  <c r="A50" i="13" s="1"/>
  <c r="A53" i="13" s="1"/>
  <c r="A12" i="13"/>
  <c r="A15" i="13" s="1"/>
  <c r="A18" i="13" s="1"/>
  <c r="A21" i="13" s="1"/>
  <c r="A24" i="13" s="1"/>
  <c r="A27" i="13" s="1"/>
  <c r="A30" i="13" s="1"/>
  <c r="A33" i="13" s="1"/>
  <c r="A36" i="13" s="1"/>
  <c r="A39" i="13" s="1"/>
  <c r="A42" i="13" s="1"/>
  <c r="A45" i="13" s="1"/>
  <c r="A48" i="13" s="1"/>
  <c r="A51" i="13" s="1"/>
  <c r="A54" i="13" s="1"/>
  <c r="B49" i="13" l="1"/>
  <c r="B50" i="13" s="1"/>
  <c r="B52" i="13" s="1"/>
  <c r="B53" i="13" s="1"/>
</calcChain>
</file>

<file path=xl/sharedStrings.xml><?xml version="1.0" encoding="utf-8"?>
<sst xmlns="http://schemas.openxmlformats.org/spreadsheetml/2006/main" count="203" uniqueCount="80">
  <si>
    <t>Estudios de Caso</t>
  </si>
  <si>
    <t>Fecha</t>
  </si>
  <si>
    <t>#</t>
  </si>
  <si>
    <t>Materia</t>
  </si>
  <si>
    <t>Lecturas Requeridas</t>
  </si>
  <si>
    <t>Dist.</t>
  </si>
  <si>
    <t>Entrega</t>
  </si>
  <si>
    <t>Teoría del comportamiento individual de elección</t>
  </si>
  <si>
    <t>BAL 3 (ó)  T 2</t>
  </si>
  <si>
    <t>BAL 4.1-4.3; T 3.1-3.3</t>
  </si>
  <si>
    <t>Estimación de modelos de elección binaria; Métodos de optimización</t>
  </si>
  <si>
    <t>BAL 4.4-4.6, T 3.7; 8</t>
  </si>
  <si>
    <t>Pruebas estadísticas de especificación de modelos.</t>
  </si>
  <si>
    <t>BAL 7; T 3.8</t>
  </si>
  <si>
    <t xml:space="preserve">Derivación y propiedades de modelos de elección múltiple </t>
  </si>
  <si>
    <t>BAL 5, T 3.10</t>
  </si>
  <si>
    <t>BAL 6; T 2.6-2.7</t>
  </si>
  <si>
    <t>Estimación de Modelos Logit Multinomial bajo diferentes alternativas de muestreo.</t>
  </si>
  <si>
    <t>BAL 5, 8</t>
  </si>
  <si>
    <t>Elección multidimensional; Modelo Logit Jerárquico</t>
  </si>
  <si>
    <t>BAL 10; T 4.2</t>
  </si>
  <si>
    <t xml:space="preserve">Modelos Multivariados (Generalizados) de Valor Extremo (MEV) </t>
  </si>
  <si>
    <t>BAL 7</t>
  </si>
  <si>
    <t>T 7.2</t>
  </si>
  <si>
    <t>Combinación de datos sobre preferencias declaradas y reveladas</t>
  </si>
  <si>
    <t>Predicción con modelos desagregados</t>
  </si>
  <si>
    <t>Datos sobre preferencias declaradas. Diseño experimental</t>
  </si>
  <si>
    <t>Control Mitad de Semestre</t>
  </si>
  <si>
    <t xml:space="preserve"> Derivación y especificación de modelos de elección binaria</t>
  </si>
  <si>
    <t>Test de validez de modelos, IIA test</t>
  </si>
  <si>
    <t>Modelos Mixtos</t>
  </si>
  <si>
    <t>Control Final de Semestre</t>
  </si>
  <si>
    <t>RECESO</t>
  </si>
  <si>
    <t>UC Davis</t>
  </si>
  <si>
    <t>ICMC</t>
  </si>
  <si>
    <t>Train 6</t>
  </si>
  <si>
    <t>Clases Latentes</t>
  </si>
  <si>
    <t>Variables Latentes</t>
  </si>
  <si>
    <t>Machine learning y DCM</t>
  </si>
  <si>
    <t>Modelos Bayesianos</t>
  </si>
  <si>
    <t>Endogeneidad en Modelos de Elección Discreta</t>
  </si>
  <si>
    <t>HCM 23</t>
  </si>
  <si>
    <t>Muestreo de Alternativas</t>
  </si>
  <si>
    <t>Conjunto de Consideración</t>
  </si>
  <si>
    <t>Gabriel</t>
  </si>
  <si>
    <t>Intro Modelo RUM</t>
  </si>
  <si>
    <t>intro pp 73</t>
  </si>
  <si>
    <t>intro pp 61</t>
  </si>
  <si>
    <t>Nested Logit pp 18</t>
  </si>
  <si>
    <t>Nested Logit pp 38</t>
  </si>
  <si>
    <t>CONTROL</t>
  </si>
  <si>
    <t>Fin Nested + GEV intro</t>
  </si>
  <si>
    <t>Cierre GEV? Pruebas estadísticas de especificación de modelos.</t>
  </si>
  <si>
    <t>horowitz</t>
  </si>
  <si>
    <t>hasta spoiler alert</t>
  </si>
  <si>
    <t>hasta fuentes potenciales de sesgo</t>
  </si>
  <si>
    <t>Hasta Logit Ordinal</t>
  </si>
  <si>
    <t>PR/PD</t>
  </si>
  <si>
    <t>Endogenidad hsata pp 20</t>
  </si>
  <si>
    <t>IRRACIIONALIDAD</t>
  </si>
  <si>
    <t>C</t>
  </si>
  <si>
    <t>A</t>
  </si>
  <si>
    <t>Derivación y especificación de modelos de elección binaria</t>
  </si>
  <si>
    <t>FERIADO</t>
  </si>
  <si>
    <t>Control 1</t>
  </si>
  <si>
    <t>Control 2</t>
  </si>
  <si>
    <t>R E C E S O</t>
  </si>
  <si>
    <t>Preparacion Caso 3: PR/PD</t>
  </si>
  <si>
    <t>Presentación. Teoría del comportamiento individual de elección</t>
  </si>
  <si>
    <t>Preparación Caso 1. Modelo Logit Apollo</t>
  </si>
  <si>
    <t>Preparación Caso 2. Pronostico</t>
  </si>
  <si>
    <t>Preparación Caso 2. Logit Jerarquico</t>
  </si>
  <si>
    <t>Preparacion Caso 4: Modelos Mixtos</t>
  </si>
  <si>
    <t>Revision Control</t>
  </si>
  <si>
    <t>Revison Control 2</t>
  </si>
  <si>
    <t>Auxiliar Examen</t>
  </si>
  <si>
    <t>Preparacion Caso 5: Clases &amp; Variabes Latentes</t>
  </si>
  <si>
    <t>Aux Machine Learning</t>
  </si>
  <si>
    <t>No hay clases</t>
  </si>
  <si>
    <t>Intro P11 antes de identificabilidad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</si>
</sst>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340A]dddd\ d&quot; de &quot;mmmm&quot; de &quot;yyyy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26"/>
      <color theme="1"/>
      <name val="Calibri"/>
      <family val="2"/>
      <scheme val="minor"/>
    </font>
    <font>
      <sz val="11"/>
      <name val="Arial"/>
      <family val="2"/>
    </font>
    <font>
      <sz val="12"/>
      <color rgb="FF222222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28">
    <xf numFmtId="0" fontId="0" fillId="0" borderId="0" xfId="0"/>
    <xf numFmtId="0" fontId="2" fillId="0" borderId="5" xfId="0" applyFont="1" applyBorder="1" applyAlignment="1">
      <alignment vertical="center" wrapText="1"/>
    </xf>
    <xf numFmtId="164" fontId="2" fillId="2" borderId="4" xfId="0" applyNumberFormat="1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64" fontId="2" fillId="0" borderId="4" xfId="0" applyNumberFormat="1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6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0" fillId="2" borderId="0" xfId="0" applyFill="1"/>
    <xf numFmtId="0" fontId="4" fillId="0" borderId="5" xfId="0" applyFont="1" applyBorder="1" applyAlignment="1">
      <alignment horizontal="center" vertical="center" wrapText="1"/>
    </xf>
    <xf numFmtId="0" fontId="4" fillId="0" borderId="5" xfId="0" applyFont="1" applyBorder="1" applyAlignment="1">
      <alignment vertical="center" wrapText="1"/>
    </xf>
    <xf numFmtId="164" fontId="2" fillId="4" borderId="4" xfId="0" applyNumberFormat="1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164" fontId="2" fillId="0" borderId="8" xfId="0" applyNumberFormat="1" applyFont="1" applyBorder="1" applyAlignment="1">
      <alignment horizontal="center" vertical="center" wrapText="1"/>
    </xf>
    <xf numFmtId="164" fontId="2" fillId="0" borderId="9" xfId="0" applyNumberFormat="1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1" xfId="0" applyFont="1" applyBorder="1" applyAlignment="1">
      <alignment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164" fontId="2" fillId="0" borderId="10" xfId="0" applyNumberFormat="1" applyFont="1" applyBorder="1" applyAlignment="1">
      <alignment horizontal="center" vertical="center" wrapText="1"/>
    </xf>
    <xf numFmtId="0" fontId="2" fillId="0" borderId="8" xfId="0" applyFont="1" applyBorder="1" applyAlignment="1">
      <alignment vertical="center" wrapText="1"/>
    </xf>
    <xf numFmtId="0" fontId="2" fillId="0" borderId="9" xfId="0" applyFont="1" applyBorder="1" applyAlignment="1">
      <alignment vertical="center" wrapText="1"/>
    </xf>
    <xf numFmtId="0" fontId="1" fillId="0" borderId="9" xfId="0" applyFont="1" applyBorder="1" applyAlignment="1">
      <alignment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0" fillId="0" borderId="10" xfId="0" applyBorder="1"/>
    <xf numFmtId="0" fontId="2" fillId="4" borderId="9" xfId="0" applyFont="1" applyFill="1" applyBorder="1" applyAlignment="1">
      <alignment vertical="center" wrapText="1"/>
    </xf>
    <xf numFmtId="0" fontId="2" fillId="2" borderId="9" xfId="0" applyFont="1" applyFill="1" applyBorder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3" borderId="9" xfId="0" applyFont="1" applyFill="1" applyBorder="1" applyAlignment="1">
      <alignment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0" xfId="0" applyFont="1" applyBorder="1" applyAlignment="1">
      <alignment vertical="center" wrapText="1"/>
    </xf>
    <xf numFmtId="0" fontId="1" fillId="3" borderId="10" xfId="0" applyFont="1" applyFill="1" applyBorder="1" applyAlignment="1">
      <alignment vertical="center" wrapText="1"/>
    </xf>
    <xf numFmtId="164" fontId="4" fillId="0" borderId="9" xfId="0" applyNumberFormat="1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2" fillId="2" borderId="8" xfId="0" applyFont="1" applyFill="1" applyBorder="1" applyAlignment="1">
      <alignment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vertical="center" wrapText="1"/>
    </xf>
    <xf numFmtId="164" fontId="2" fillId="2" borderId="8" xfId="0" applyNumberFormat="1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164" fontId="2" fillId="2" borderId="9" xfId="0" applyNumberFormat="1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164" fontId="2" fillId="5" borderId="1" xfId="0" applyNumberFormat="1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vertical="center" wrapText="1"/>
    </xf>
    <xf numFmtId="164" fontId="2" fillId="5" borderId="4" xfId="0" applyNumberFormat="1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vertical="center" wrapText="1"/>
    </xf>
    <xf numFmtId="0" fontId="1" fillId="5" borderId="5" xfId="0" applyFont="1" applyFill="1" applyBorder="1" applyAlignment="1">
      <alignment vertical="center" wrapText="1"/>
    </xf>
    <xf numFmtId="0" fontId="0" fillId="5" borderId="0" xfId="0" applyFill="1"/>
    <xf numFmtId="164" fontId="2" fillId="5" borderId="9" xfId="0" applyNumberFormat="1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center" vertical="center" wrapText="1"/>
    </xf>
    <xf numFmtId="0" fontId="5" fillId="0" borderId="0" xfId="0" applyFont="1"/>
    <xf numFmtId="0" fontId="2" fillId="0" borderId="13" xfId="0" applyFont="1" applyBorder="1" applyAlignment="1">
      <alignment vertical="center" wrapText="1"/>
    </xf>
    <xf numFmtId="0" fontId="1" fillId="0" borderId="13" xfId="0" applyFont="1" applyBorder="1" applyAlignment="1">
      <alignment vertical="center" wrapText="1"/>
    </xf>
    <xf numFmtId="0" fontId="2" fillId="0" borderId="16" xfId="0" applyFont="1" applyBorder="1" applyAlignment="1">
      <alignment horizontal="center" vertical="center" wrapText="1"/>
    </xf>
    <xf numFmtId="0" fontId="0" fillId="0" borderId="15" xfId="0" applyBorder="1"/>
    <xf numFmtId="0" fontId="2" fillId="0" borderId="0" xfId="0" applyFont="1" applyAlignment="1">
      <alignment vertical="center" wrapText="1"/>
    </xf>
    <xf numFmtId="0" fontId="2" fillId="0" borderId="17" xfId="0" applyFont="1" applyBorder="1" applyAlignment="1">
      <alignment vertical="center" wrapText="1"/>
    </xf>
    <xf numFmtId="164" fontId="2" fillId="0" borderId="1" xfId="0" applyNumberFormat="1" applyFont="1" applyBorder="1" applyAlignment="1">
      <alignment horizontal="center" vertical="center" wrapText="1"/>
    </xf>
    <xf numFmtId="0" fontId="4" fillId="5" borderId="5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vertical="center" wrapText="1"/>
    </xf>
    <xf numFmtId="0" fontId="4" fillId="5" borderId="13" xfId="0" applyFont="1" applyFill="1" applyBorder="1" applyAlignment="1">
      <alignment horizontal="center" vertical="center" wrapText="1"/>
    </xf>
    <xf numFmtId="164" fontId="2" fillId="0" borderId="2" xfId="0" applyNumberFormat="1" applyFont="1" applyBorder="1" applyAlignment="1">
      <alignment horizontal="center" vertical="center" wrapText="1"/>
    </xf>
    <xf numFmtId="164" fontId="2" fillId="0" borderId="5" xfId="0" applyNumberFormat="1" applyFont="1" applyBorder="1" applyAlignment="1">
      <alignment horizontal="center" vertical="center" wrapText="1"/>
    </xf>
    <xf numFmtId="164" fontId="2" fillId="5" borderId="5" xfId="0" applyNumberFormat="1" applyFont="1" applyFill="1" applyBorder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2" fillId="5" borderId="8" xfId="0" applyFont="1" applyFill="1" applyBorder="1" applyAlignment="1">
      <alignment vertical="center" wrapText="1"/>
    </xf>
    <xf numFmtId="0" fontId="2" fillId="5" borderId="0" xfId="0" applyFont="1" applyFill="1" applyAlignment="1">
      <alignment vertical="center" wrapText="1"/>
    </xf>
    <xf numFmtId="0" fontId="2" fillId="6" borderId="0" xfId="0" applyFont="1" applyFill="1" applyAlignment="1">
      <alignment horizontal="center" vertical="center" wrapText="1"/>
    </xf>
    <xf numFmtId="0" fontId="2" fillId="6" borderId="9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center" vertical="center" wrapText="1"/>
    </xf>
    <xf numFmtId="164" fontId="2" fillId="7" borderId="4" xfId="0" applyNumberFormat="1" applyFont="1" applyFill="1" applyBorder="1" applyAlignment="1">
      <alignment horizontal="center" vertical="center" wrapText="1"/>
    </xf>
    <xf numFmtId="164" fontId="2" fillId="7" borderId="5" xfId="0" applyNumberFormat="1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0" fillId="7" borderId="0" xfId="0" applyFill="1"/>
    <xf numFmtId="164" fontId="2" fillId="8" borderId="4" xfId="0" applyNumberFormat="1" applyFont="1" applyFill="1" applyBorder="1" applyAlignment="1">
      <alignment horizontal="center" vertical="center" wrapText="1"/>
    </xf>
    <xf numFmtId="164" fontId="2" fillId="8" borderId="5" xfId="0" applyNumberFormat="1" applyFont="1" applyFill="1" applyBorder="1" applyAlignment="1">
      <alignment horizontal="center" vertical="center" wrapText="1"/>
    </xf>
    <xf numFmtId="0" fontId="2" fillId="8" borderId="5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vertical="center" wrapText="1"/>
    </xf>
    <xf numFmtId="0" fontId="2" fillId="8" borderId="13" xfId="0" applyFont="1" applyFill="1" applyBorder="1" applyAlignment="1">
      <alignment horizontal="center" vertical="center" wrapText="1"/>
    </xf>
    <xf numFmtId="164" fontId="2" fillId="9" borderId="4" xfId="0" applyNumberFormat="1" applyFont="1" applyFill="1" applyBorder="1" applyAlignment="1">
      <alignment horizontal="center" vertical="center" wrapText="1"/>
    </xf>
    <xf numFmtId="164" fontId="2" fillId="9" borderId="5" xfId="0" applyNumberFormat="1" applyFont="1" applyFill="1" applyBorder="1" applyAlignment="1">
      <alignment horizontal="center" vertical="center" wrapText="1"/>
    </xf>
    <xf numFmtId="0" fontId="2" fillId="9" borderId="0" xfId="0" applyFont="1" applyFill="1" applyAlignment="1">
      <alignment horizontal="center" vertical="center" wrapText="1"/>
    </xf>
    <xf numFmtId="0" fontId="2" fillId="9" borderId="9" xfId="0" applyFont="1" applyFill="1" applyBorder="1" applyAlignment="1">
      <alignment vertical="center" wrapText="1"/>
    </xf>
    <xf numFmtId="0" fontId="2" fillId="9" borderId="5" xfId="0" applyFont="1" applyFill="1" applyBorder="1" applyAlignment="1">
      <alignment horizontal="center" vertical="center" wrapText="1"/>
    </xf>
    <xf numFmtId="0" fontId="2" fillId="8" borderId="0" xfId="0" applyFont="1" applyFill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2" fillId="8" borderId="17" xfId="0" applyFont="1" applyFill="1" applyBorder="1" applyAlignment="1">
      <alignment vertical="center" wrapText="1"/>
    </xf>
    <xf numFmtId="0" fontId="2" fillId="0" borderId="17" xfId="0" applyFont="1" applyBorder="1" applyAlignment="1">
      <alignment horizontal="left" vertical="center" wrapText="1"/>
    </xf>
    <xf numFmtId="0" fontId="2" fillId="5" borderId="17" xfId="0" applyFont="1" applyFill="1" applyBorder="1" applyAlignment="1">
      <alignment vertical="center" wrapText="1"/>
    </xf>
    <xf numFmtId="0" fontId="2" fillId="9" borderId="17" xfId="0" applyFont="1" applyFill="1" applyBorder="1" applyAlignment="1">
      <alignment vertical="center" wrapText="1"/>
    </xf>
    <xf numFmtId="0" fontId="2" fillId="6" borderId="17" xfId="0" applyFont="1" applyFill="1" applyBorder="1" applyAlignment="1">
      <alignment vertical="center" wrapText="1"/>
    </xf>
    <xf numFmtId="0" fontId="2" fillId="0" borderId="20" xfId="0" applyFont="1" applyBorder="1" applyAlignment="1">
      <alignment vertical="center" wrapText="1"/>
    </xf>
    <xf numFmtId="0" fontId="1" fillId="0" borderId="21" xfId="0" applyFont="1" applyBorder="1" applyAlignment="1">
      <alignment vertical="center" wrapText="1"/>
    </xf>
    <xf numFmtId="0" fontId="2" fillId="9" borderId="13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164" fontId="2" fillId="6" borderId="4" xfId="0" applyNumberFormat="1" applyFont="1" applyFill="1" applyBorder="1" applyAlignment="1">
      <alignment horizontal="center" vertical="center" wrapText="1"/>
    </xf>
    <xf numFmtId="164" fontId="2" fillId="6" borderId="5" xfId="0" applyNumberFormat="1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0" fontId="2" fillId="8" borderId="22" xfId="0" applyFont="1" applyFill="1" applyBorder="1" applyAlignment="1">
      <alignment horizontal="center" vertical="center" wrapText="1"/>
    </xf>
    <xf numFmtId="0" fontId="2" fillId="5" borderId="22" xfId="0" applyFont="1" applyFill="1" applyBorder="1" applyAlignment="1">
      <alignment horizontal="center" vertical="center" wrapText="1"/>
    </xf>
    <xf numFmtId="0" fontId="2" fillId="7" borderId="22" xfId="0" applyFont="1" applyFill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5" fillId="7" borderId="17" xfId="0" applyFont="1" applyFill="1" applyBorder="1"/>
    <xf numFmtId="0" fontId="5" fillId="0" borderId="17" xfId="0" applyFont="1" applyBorder="1"/>
    <xf numFmtId="0" fontId="2" fillId="0" borderId="23" xfId="0" applyFont="1" applyBorder="1" applyAlignment="1">
      <alignment vertical="center" wrapText="1"/>
    </xf>
    <xf numFmtId="0" fontId="2" fillId="8" borderId="17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84453-DFDE-4E5F-AE2D-26334DF945B2}">
  <dimension ref="A1:I54"/>
  <sheetViews>
    <sheetView tabSelected="1" topLeftCell="B1" zoomScale="85" zoomScaleNormal="85" workbookViewId="0">
      <selection activeCell="F6" sqref="F6"/>
    </sheetView>
  </sheetViews>
  <sheetFormatPr defaultColWidth="11.54296875" defaultRowHeight="24" customHeight="1" x14ac:dyDescent="0.35"/>
  <cols>
    <col min="1" max="1" width="41.08984375" customWidth="1"/>
    <col min="2" max="2" width="8" customWidth="1"/>
    <col min="3" max="3" width="11" customWidth="1"/>
    <col min="4" max="4" width="64.54296875" customWidth="1"/>
    <col min="5" max="7" width="33.08984375" customWidth="1"/>
  </cols>
  <sheetData>
    <row r="1" spans="1:8" ht="33.75" customHeight="1" thickBot="1" x14ac:dyDescent="0.8">
      <c r="A1" s="127"/>
      <c r="B1" s="127"/>
      <c r="C1" s="127"/>
      <c r="D1" s="127"/>
      <c r="E1" s="127"/>
      <c r="F1" s="127"/>
      <c r="G1" s="127"/>
    </row>
    <row r="2" spans="1:8" ht="24" customHeight="1" thickBot="1" x14ac:dyDescent="0.4">
      <c r="A2" s="6"/>
      <c r="B2" s="7"/>
      <c r="C2" s="7"/>
      <c r="D2" s="101"/>
      <c r="E2" s="112"/>
      <c r="F2" s="108" t="s">
        <v>0</v>
      </c>
      <c r="G2" s="9"/>
    </row>
    <row r="3" spans="1:8" ht="24" customHeight="1" thickBot="1" x14ac:dyDescent="0.4">
      <c r="A3" s="11" t="s">
        <v>1</v>
      </c>
      <c r="B3" s="12"/>
      <c r="C3" s="12" t="s">
        <v>2</v>
      </c>
      <c r="D3" s="13" t="s">
        <v>3</v>
      </c>
      <c r="E3" s="113" t="s">
        <v>4</v>
      </c>
      <c r="F3" s="13" t="s">
        <v>5</v>
      </c>
      <c r="G3" s="12" t="s">
        <v>6</v>
      </c>
    </row>
    <row r="4" spans="1:8" ht="24" customHeight="1" x14ac:dyDescent="0.35">
      <c r="A4" s="71">
        <v>45727</v>
      </c>
      <c r="B4" s="75" t="s">
        <v>60</v>
      </c>
      <c r="C4" s="116">
        <v>1</v>
      </c>
      <c r="D4" s="107" t="s">
        <v>68</v>
      </c>
      <c r="E4" s="29" t="s">
        <v>8</v>
      </c>
      <c r="F4" s="23"/>
      <c r="G4" s="25"/>
    </row>
    <row r="5" spans="1:8" ht="24" customHeight="1" x14ac:dyDescent="0.35">
      <c r="A5" s="4">
        <f>+A4</f>
        <v>45727</v>
      </c>
      <c r="B5" s="76"/>
      <c r="C5" s="37"/>
      <c r="D5" s="70"/>
      <c r="E5" s="30"/>
      <c r="F5" s="5"/>
      <c r="G5" s="26"/>
    </row>
    <row r="6" spans="1:8" ht="24" customHeight="1" x14ac:dyDescent="0.35">
      <c r="A6" s="4">
        <f>+A4+2</f>
        <v>45729</v>
      </c>
      <c r="B6" s="76" t="s">
        <v>60</v>
      </c>
      <c r="C6" s="37">
        <f>+C4+1</f>
        <v>2</v>
      </c>
      <c r="D6" s="70" t="s">
        <v>62</v>
      </c>
      <c r="E6" s="30" t="s">
        <v>9</v>
      </c>
      <c r="F6" s="5"/>
      <c r="G6" s="26"/>
      <c r="H6" t="s">
        <v>79</v>
      </c>
    </row>
    <row r="7" spans="1:8" ht="28.5" customHeight="1" x14ac:dyDescent="0.35">
      <c r="A7" s="4">
        <f>+A4+7</f>
        <v>45734</v>
      </c>
      <c r="B7" s="76" t="s">
        <v>60</v>
      </c>
      <c r="C7" s="37">
        <f>+C6+1</f>
        <v>3</v>
      </c>
      <c r="D7" s="70" t="s">
        <v>10</v>
      </c>
      <c r="E7" s="30" t="s">
        <v>11</v>
      </c>
      <c r="F7" s="5"/>
      <c r="G7" s="26"/>
    </row>
    <row r="8" spans="1:8" ht="28.5" customHeight="1" x14ac:dyDescent="0.35">
      <c r="A8" s="89">
        <f>+A7+1</f>
        <v>45735</v>
      </c>
      <c r="B8" s="90" t="s">
        <v>61</v>
      </c>
      <c r="C8" s="99"/>
      <c r="D8" s="102" t="s">
        <v>69</v>
      </c>
      <c r="E8" s="92"/>
      <c r="F8" s="91">
        <v>1</v>
      </c>
      <c r="G8" s="93"/>
    </row>
    <row r="9" spans="1:8" ht="28.5" customHeight="1" x14ac:dyDescent="0.35">
      <c r="A9" s="4">
        <f>+A6+7</f>
        <v>45736</v>
      </c>
      <c r="B9" s="76" t="s">
        <v>60</v>
      </c>
      <c r="C9" s="37">
        <f>+C7+1</f>
        <v>4</v>
      </c>
      <c r="D9" s="70" t="s">
        <v>12</v>
      </c>
      <c r="E9" s="30" t="s">
        <v>13</v>
      </c>
      <c r="F9" s="5"/>
      <c r="G9" s="26"/>
    </row>
    <row r="10" spans="1:8" ht="28.5" customHeight="1" x14ac:dyDescent="0.35">
      <c r="A10" s="4">
        <f>+A7+7</f>
        <v>45741</v>
      </c>
      <c r="B10" s="76" t="s">
        <v>60</v>
      </c>
      <c r="C10" s="37">
        <f>+C9+1</f>
        <v>5</v>
      </c>
      <c r="D10" s="103" t="s">
        <v>14</v>
      </c>
      <c r="E10" s="22" t="s">
        <v>15</v>
      </c>
      <c r="F10" s="5"/>
      <c r="G10" s="26"/>
    </row>
    <row r="11" spans="1:8" ht="28.5" customHeight="1" x14ac:dyDescent="0.35">
      <c r="A11" s="89">
        <f>+A10+1</f>
        <v>45742</v>
      </c>
      <c r="B11" s="90" t="s">
        <v>61</v>
      </c>
      <c r="C11" s="99"/>
      <c r="D11" s="102" t="s">
        <v>69</v>
      </c>
      <c r="E11" s="92"/>
      <c r="F11" s="91"/>
      <c r="G11" s="93"/>
    </row>
    <row r="12" spans="1:8" ht="28.5" customHeight="1" x14ac:dyDescent="0.35">
      <c r="A12" s="4">
        <f>+A9+7</f>
        <v>45743</v>
      </c>
      <c r="B12" s="76" t="s">
        <v>60</v>
      </c>
      <c r="C12" s="37">
        <f>+C10+1</f>
        <v>6</v>
      </c>
      <c r="D12" s="103" t="s">
        <v>25</v>
      </c>
      <c r="E12" s="22" t="s">
        <v>16</v>
      </c>
      <c r="F12" s="5"/>
      <c r="G12" s="26"/>
    </row>
    <row r="13" spans="1:8" ht="28.5" customHeight="1" x14ac:dyDescent="0.35">
      <c r="A13" s="4">
        <f>+A10+7</f>
        <v>45748</v>
      </c>
      <c r="B13" s="76" t="s">
        <v>60</v>
      </c>
      <c r="C13" s="37">
        <f>+C12+1</f>
        <v>7</v>
      </c>
      <c r="D13" s="103" t="s">
        <v>19</v>
      </c>
      <c r="E13" s="30" t="s">
        <v>20</v>
      </c>
      <c r="F13" s="5"/>
      <c r="G13" s="5"/>
    </row>
    <row r="14" spans="1:8" ht="28.5" customHeight="1" x14ac:dyDescent="0.35">
      <c r="A14" s="89">
        <f>+A13+1</f>
        <v>45749</v>
      </c>
      <c r="B14" s="90"/>
      <c r="C14" s="99"/>
      <c r="D14" s="102" t="s">
        <v>70</v>
      </c>
      <c r="E14" s="100"/>
      <c r="F14" s="91">
        <v>2</v>
      </c>
      <c r="G14" s="91">
        <v>1</v>
      </c>
    </row>
    <row r="15" spans="1:8" ht="28.5" customHeight="1" x14ac:dyDescent="0.35">
      <c r="A15" s="4">
        <f>+A12+7</f>
        <v>45750</v>
      </c>
      <c r="B15" s="76" t="s">
        <v>60</v>
      </c>
      <c r="C15" s="37">
        <f>+C13+1</f>
        <v>8</v>
      </c>
      <c r="D15" s="70" t="s">
        <v>29</v>
      </c>
      <c r="E15" s="30" t="s">
        <v>22</v>
      </c>
      <c r="F15" s="5"/>
      <c r="G15" s="5"/>
    </row>
    <row r="16" spans="1:8" ht="28.5" customHeight="1" x14ac:dyDescent="0.35">
      <c r="A16" s="4">
        <f>+A13+7</f>
        <v>45755</v>
      </c>
      <c r="B16" s="76" t="s">
        <v>60</v>
      </c>
      <c r="C16" s="37">
        <f>+C15+1</f>
        <v>9</v>
      </c>
      <c r="D16" s="70" t="s">
        <v>21</v>
      </c>
      <c r="E16" s="30" t="s">
        <v>22</v>
      </c>
      <c r="F16" s="5"/>
      <c r="G16" s="26"/>
    </row>
    <row r="17" spans="1:9" ht="28.5" customHeight="1" x14ac:dyDescent="0.35">
      <c r="A17" s="89">
        <f>+A16+1</f>
        <v>45756</v>
      </c>
      <c r="B17" s="90"/>
      <c r="C17" s="99"/>
      <c r="D17" s="102" t="s">
        <v>71</v>
      </c>
      <c r="E17" s="92"/>
      <c r="F17" s="91"/>
      <c r="G17" s="91"/>
    </row>
    <row r="18" spans="1:9" ht="28.5" customHeight="1" x14ac:dyDescent="0.35">
      <c r="A18" s="4">
        <f>+A15+7</f>
        <v>45757</v>
      </c>
      <c r="B18" s="76" t="s">
        <v>60</v>
      </c>
      <c r="C18" s="37">
        <f>+C16+1</f>
        <v>10</v>
      </c>
      <c r="D18" s="103" t="s">
        <v>17</v>
      </c>
      <c r="E18" s="30" t="s">
        <v>18</v>
      </c>
      <c r="F18" s="5"/>
      <c r="G18" s="26"/>
    </row>
    <row r="19" spans="1:9" s="61" customFormat="1" ht="28.5" customHeight="1" x14ac:dyDescent="0.35">
      <c r="A19" s="57">
        <f>+A16+7</f>
        <v>45762</v>
      </c>
      <c r="B19" s="77" t="s">
        <v>60</v>
      </c>
      <c r="C19" s="117"/>
      <c r="D19" s="104" t="s">
        <v>66</v>
      </c>
      <c r="E19" s="73"/>
      <c r="F19" s="72"/>
      <c r="G19" s="74"/>
    </row>
    <row r="20" spans="1:9" s="61" customFormat="1" ht="28.5" customHeight="1" x14ac:dyDescent="0.35">
      <c r="A20" s="57">
        <f>+A19+1</f>
        <v>45763</v>
      </c>
      <c r="B20" s="77"/>
      <c r="C20" s="117"/>
      <c r="D20" s="104" t="s">
        <v>66</v>
      </c>
      <c r="E20" s="73"/>
      <c r="F20" s="72"/>
      <c r="G20" s="74"/>
    </row>
    <row r="21" spans="1:9" s="61" customFormat="1" ht="28.5" customHeight="1" x14ac:dyDescent="0.35">
      <c r="A21" s="57">
        <f>+A18+7</f>
        <v>45764</v>
      </c>
      <c r="B21" s="77" t="s">
        <v>60</v>
      </c>
      <c r="C21" s="117"/>
      <c r="D21" s="104" t="s">
        <v>66</v>
      </c>
      <c r="E21" s="73"/>
      <c r="F21" s="72"/>
      <c r="G21" s="74"/>
    </row>
    <row r="22" spans="1:9" ht="28.5" customHeight="1" x14ac:dyDescent="0.35">
      <c r="A22" s="4">
        <f>+A19+7</f>
        <v>45769</v>
      </c>
      <c r="B22" s="76" t="s">
        <v>60</v>
      </c>
      <c r="C22" s="37">
        <f>+C18+1</f>
        <v>11</v>
      </c>
      <c r="D22" s="70" t="s">
        <v>26</v>
      </c>
      <c r="E22" s="30" t="s">
        <v>23</v>
      </c>
      <c r="F22" s="26"/>
      <c r="G22" s="5"/>
    </row>
    <row r="23" spans="1:9" ht="28.5" customHeight="1" x14ac:dyDescent="0.35">
      <c r="A23" s="89">
        <f>+A22+1</f>
        <v>45770</v>
      </c>
      <c r="B23" s="90"/>
      <c r="C23" s="99"/>
      <c r="D23" s="102" t="s">
        <v>67</v>
      </c>
      <c r="E23" s="92"/>
      <c r="F23" s="93">
        <v>3</v>
      </c>
      <c r="G23" s="91">
        <v>2</v>
      </c>
    </row>
    <row r="24" spans="1:9" ht="28.5" customHeight="1" x14ac:dyDescent="0.35">
      <c r="A24" s="4">
        <f>+A21+7</f>
        <v>45771</v>
      </c>
      <c r="B24" s="76" t="s">
        <v>60</v>
      </c>
      <c r="C24" s="37">
        <f>+C22+1</f>
        <v>12</v>
      </c>
      <c r="D24" s="70" t="s">
        <v>26</v>
      </c>
      <c r="E24" s="30" t="s">
        <v>23</v>
      </c>
      <c r="F24" s="26"/>
      <c r="G24" s="5"/>
    </row>
    <row r="25" spans="1:9" ht="28.5" customHeight="1" x14ac:dyDescent="0.35">
      <c r="A25" s="94">
        <f>+A22+7</f>
        <v>45776</v>
      </c>
      <c r="B25" s="95"/>
      <c r="C25" s="96"/>
      <c r="D25" s="105" t="s">
        <v>64</v>
      </c>
      <c r="E25" s="97" t="s">
        <v>23</v>
      </c>
      <c r="F25" s="109"/>
      <c r="G25" s="98"/>
    </row>
    <row r="26" spans="1:9" ht="28.5" customHeight="1" x14ac:dyDescent="0.35">
      <c r="A26" s="89">
        <f>+A25+1</f>
        <v>45777</v>
      </c>
      <c r="B26" s="90"/>
      <c r="C26" s="99"/>
      <c r="D26" s="102" t="s">
        <v>73</v>
      </c>
      <c r="E26" s="92"/>
      <c r="F26" s="93"/>
      <c r="G26" s="91"/>
    </row>
    <row r="27" spans="1:9" ht="28.5" customHeight="1" x14ac:dyDescent="0.35">
      <c r="A27" s="114">
        <f>+A24+7</f>
        <v>45778</v>
      </c>
      <c r="B27" s="115"/>
      <c r="C27" s="81"/>
      <c r="D27" s="106" t="s">
        <v>63</v>
      </c>
      <c r="E27" s="82"/>
      <c r="F27" s="110"/>
      <c r="G27" s="83"/>
    </row>
    <row r="28" spans="1:9" ht="28.5" customHeight="1" x14ac:dyDescent="0.35">
      <c r="A28" s="4">
        <f>+A25+7</f>
        <v>45783</v>
      </c>
      <c r="B28" s="76" t="s">
        <v>60</v>
      </c>
      <c r="C28" s="37">
        <f>+C24+1</f>
        <v>13</v>
      </c>
      <c r="D28" s="70" t="s">
        <v>24</v>
      </c>
      <c r="E28" s="30" t="s">
        <v>23</v>
      </c>
      <c r="F28" s="26"/>
      <c r="G28" s="5"/>
      <c r="H28" s="30"/>
      <c r="I28" s="30"/>
    </row>
    <row r="29" spans="1:9" ht="28.5" customHeight="1" x14ac:dyDescent="0.35">
      <c r="A29" s="89">
        <f>+A28+1</f>
        <v>45784</v>
      </c>
      <c r="B29" s="90"/>
      <c r="C29" s="99"/>
      <c r="D29" s="102" t="s">
        <v>67</v>
      </c>
      <c r="E29" s="92"/>
      <c r="F29" s="93"/>
      <c r="G29" s="91"/>
      <c r="H29" s="30"/>
      <c r="I29" s="69"/>
    </row>
    <row r="30" spans="1:9" ht="28.5" customHeight="1" x14ac:dyDescent="0.35">
      <c r="A30" s="4">
        <f>+A27+7</f>
        <v>45785</v>
      </c>
      <c r="B30" s="76" t="s">
        <v>60</v>
      </c>
      <c r="C30" s="37">
        <f>+C28+1</f>
        <v>14</v>
      </c>
      <c r="D30" s="70" t="s">
        <v>30</v>
      </c>
      <c r="E30" s="30" t="s">
        <v>35</v>
      </c>
      <c r="F30" s="26"/>
      <c r="G30" s="5"/>
      <c r="H30" s="30"/>
      <c r="I30" s="69"/>
    </row>
    <row r="31" spans="1:9" ht="28.5" customHeight="1" x14ac:dyDescent="0.35">
      <c r="A31" s="4">
        <f>+A28+7</f>
        <v>45790</v>
      </c>
      <c r="B31" s="76" t="s">
        <v>60</v>
      </c>
      <c r="C31" s="118">
        <f>+C30+1</f>
        <v>15</v>
      </c>
      <c r="D31" s="70" t="s">
        <v>30</v>
      </c>
      <c r="E31" s="30" t="s">
        <v>35</v>
      </c>
      <c r="F31" s="26"/>
      <c r="G31" s="5"/>
      <c r="H31" s="30"/>
      <c r="I31" s="30"/>
    </row>
    <row r="32" spans="1:9" ht="28.5" customHeight="1" x14ac:dyDescent="0.35">
      <c r="A32" s="89">
        <f>+A31+1</f>
        <v>45791</v>
      </c>
      <c r="B32" s="90"/>
      <c r="C32" s="119"/>
      <c r="D32" s="102" t="s">
        <v>72</v>
      </c>
      <c r="E32" s="92"/>
      <c r="F32" s="93">
        <v>4</v>
      </c>
      <c r="G32" s="91">
        <v>3</v>
      </c>
      <c r="H32" s="30"/>
      <c r="I32" s="69"/>
    </row>
    <row r="33" spans="1:9" ht="28.5" customHeight="1" x14ac:dyDescent="0.35">
      <c r="A33" s="4">
        <f>+A30+7</f>
        <v>45792</v>
      </c>
      <c r="B33" s="76" t="s">
        <v>60</v>
      </c>
      <c r="C33" s="118">
        <f>+C31+1</f>
        <v>16</v>
      </c>
      <c r="D33" s="70" t="s">
        <v>30</v>
      </c>
      <c r="E33" s="30" t="s">
        <v>35</v>
      </c>
      <c r="F33" s="26"/>
      <c r="G33" s="5"/>
      <c r="H33" s="30"/>
      <c r="I33" s="69"/>
    </row>
    <row r="34" spans="1:9" s="61" customFormat="1" ht="28.5" customHeight="1" x14ac:dyDescent="0.35">
      <c r="A34" s="57">
        <f>+A31+7</f>
        <v>45797</v>
      </c>
      <c r="B34" s="77" t="s">
        <v>60</v>
      </c>
      <c r="C34" s="78"/>
      <c r="D34" s="104"/>
      <c r="E34" s="73"/>
      <c r="F34" s="63"/>
      <c r="G34" s="58"/>
    </row>
    <row r="35" spans="1:9" s="61" customFormat="1" ht="28.5" customHeight="1" x14ac:dyDescent="0.35">
      <c r="A35" s="57">
        <f>+A34+1</f>
        <v>45798</v>
      </c>
      <c r="B35" s="77"/>
      <c r="C35" s="78"/>
      <c r="D35" s="104"/>
      <c r="E35" s="73"/>
      <c r="F35" s="63"/>
      <c r="G35" s="58"/>
    </row>
    <row r="36" spans="1:9" s="61" customFormat="1" ht="28.5" customHeight="1" x14ac:dyDescent="0.35">
      <c r="A36" s="57">
        <f>+A33+7</f>
        <v>45799</v>
      </c>
      <c r="B36" s="77" t="s">
        <v>60</v>
      </c>
      <c r="C36" s="120"/>
      <c r="D36" s="104"/>
      <c r="E36" s="73"/>
      <c r="F36" s="63"/>
      <c r="G36" s="58"/>
      <c r="H36" s="79"/>
      <c r="I36" s="80"/>
    </row>
    <row r="37" spans="1:9" ht="28.5" customHeight="1" x14ac:dyDescent="0.35">
      <c r="A37" s="4">
        <f>+A34+7</f>
        <v>45804</v>
      </c>
      <c r="B37" s="76" t="s">
        <v>60</v>
      </c>
      <c r="C37" s="118">
        <f>+C33+1</f>
        <v>17</v>
      </c>
      <c r="D37" s="70" t="s">
        <v>30</v>
      </c>
      <c r="E37" s="30" t="s">
        <v>35</v>
      </c>
      <c r="F37" s="26"/>
      <c r="G37" s="5"/>
      <c r="H37" s="30"/>
      <c r="I37" s="69"/>
    </row>
    <row r="38" spans="1:9" ht="28.5" customHeight="1" x14ac:dyDescent="0.35">
      <c r="A38" s="89">
        <f>+A37+1</f>
        <v>45805</v>
      </c>
      <c r="B38" s="90"/>
      <c r="C38" s="119"/>
      <c r="D38" s="102" t="s">
        <v>72</v>
      </c>
      <c r="E38" s="92"/>
      <c r="F38" s="93"/>
      <c r="G38" s="91"/>
      <c r="H38" s="65"/>
      <c r="I38" s="69"/>
    </row>
    <row r="39" spans="1:9" ht="28.5" customHeight="1" x14ac:dyDescent="0.35">
      <c r="A39" s="4">
        <f>+A36+7</f>
        <v>45806</v>
      </c>
      <c r="B39" s="76" t="s">
        <v>60</v>
      </c>
      <c r="C39" s="118">
        <f>+C37+1</f>
        <v>18</v>
      </c>
      <c r="D39" s="70" t="s">
        <v>36</v>
      </c>
      <c r="E39" s="30" t="s">
        <v>35</v>
      </c>
      <c r="F39" s="26"/>
      <c r="G39" s="5"/>
      <c r="H39" s="65"/>
      <c r="I39" s="69"/>
    </row>
    <row r="40" spans="1:9" ht="28.5" customHeight="1" x14ac:dyDescent="0.35">
      <c r="A40" s="4">
        <f>+A37+7</f>
        <v>45811</v>
      </c>
      <c r="B40" s="76" t="s">
        <v>60</v>
      </c>
      <c r="C40" s="118">
        <f>+C39+1</f>
        <v>19</v>
      </c>
      <c r="D40" s="70" t="s">
        <v>37</v>
      </c>
      <c r="E40" s="30"/>
      <c r="F40" s="26"/>
      <c r="G40" s="5"/>
      <c r="H40" s="65"/>
      <c r="I40" s="65"/>
    </row>
    <row r="41" spans="1:9" ht="28.5" customHeight="1" x14ac:dyDescent="0.35">
      <c r="A41" s="89">
        <f>+A40+1</f>
        <v>45812</v>
      </c>
      <c r="B41" s="90"/>
      <c r="C41" s="119"/>
      <c r="D41" s="102" t="s">
        <v>76</v>
      </c>
      <c r="E41" s="92"/>
      <c r="F41" s="93">
        <v>5</v>
      </c>
      <c r="G41" s="91">
        <v>4</v>
      </c>
      <c r="H41" s="65"/>
      <c r="I41" s="65"/>
    </row>
    <row r="42" spans="1:9" ht="28.5" customHeight="1" x14ac:dyDescent="0.35">
      <c r="A42" s="4">
        <f>+A39+7</f>
        <v>45813</v>
      </c>
      <c r="B42" s="76" t="s">
        <v>60</v>
      </c>
      <c r="C42" s="118">
        <f>+C40+1</f>
        <v>20</v>
      </c>
      <c r="D42" s="70" t="s">
        <v>37</v>
      </c>
      <c r="E42" s="30"/>
      <c r="F42" s="26"/>
      <c r="G42" s="5"/>
      <c r="H42" s="65"/>
      <c r="I42" s="65"/>
    </row>
    <row r="43" spans="1:9" s="88" customFormat="1" ht="28.5" customHeight="1" x14ac:dyDescent="0.35">
      <c r="A43" s="84">
        <f>+A40+7</f>
        <v>45818</v>
      </c>
      <c r="B43" s="85" t="s">
        <v>60</v>
      </c>
      <c r="C43" s="121">
        <f>+C42+1</f>
        <v>21</v>
      </c>
      <c r="D43" s="123" t="s">
        <v>65</v>
      </c>
      <c r="E43" s="86"/>
      <c r="F43" s="111"/>
      <c r="G43" s="87"/>
    </row>
    <row r="44" spans="1:9" s="88" customFormat="1" ht="28.5" customHeight="1" x14ac:dyDescent="0.35">
      <c r="A44" s="84">
        <f>+A43+1</f>
        <v>45819</v>
      </c>
      <c r="B44" s="85"/>
      <c r="C44" s="121"/>
      <c r="D44" s="123" t="s">
        <v>74</v>
      </c>
      <c r="E44" s="86"/>
      <c r="F44" s="111"/>
      <c r="G44" s="87"/>
    </row>
    <row r="45" spans="1:9" s="88" customFormat="1" ht="28.5" customHeight="1" x14ac:dyDescent="0.35">
      <c r="A45" s="84">
        <f>+A42+7</f>
        <v>45820</v>
      </c>
      <c r="B45" s="85" t="s">
        <v>60</v>
      </c>
      <c r="C45" s="121">
        <f>+C43+1</f>
        <v>22</v>
      </c>
      <c r="D45" s="123" t="s">
        <v>78</v>
      </c>
      <c r="E45" s="86"/>
      <c r="F45" s="111"/>
      <c r="G45" s="87"/>
    </row>
    <row r="46" spans="1:9" ht="28.5" customHeight="1" x14ac:dyDescent="0.35">
      <c r="A46" s="4">
        <f>+A43+7</f>
        <v>45825</v>
      </c>
      <c r="B46" s="76" t="s">
        <v>60</v>
      </c>
      <c r="C46" s="122">
        <f>+C45+1</f>
        <v>23</v>
      </c>
      <c r="D46" s="70" t="s">
        <v>40</v>
      </c>
      <c r="E46" s="30"/>
      <c r="F46" s="5"/>
      <c r="G46" s="25"/>
    </row>
    <row r="47" spans="1:9" ht="28.5" customHeight="1" x14ac:dyDescent="0.35">
      <c r="A47" s="89">
        <f>+A46+1</f>
        <v>45826</v>
      </c>
      <c r="B47" s="90"/>
      <c r="C47" s="126"/>
      <c r="D47" s="102" t="s">
        <v>76</v>
      </c>
      <c r="E47" s="92"/>
      <c r="F47" s="91"/>
      <c r="G47" s="93"/>
    </row>
    <row r="48" spans="1:9" ht="28.5" customHeight="1" x14ac:dyDescent="0.35">
      <c r="A48" s="4">
        <f>+A45+7</f>
        <v>45827</v>
      </c>
      <c r="B48" s="76" t="s">
        <v>60</v>
      </c>
      <c r="C48" s="122">
        <f>+C46+1</f>
        <v>24</v>
      </c>
      <c r="D48" s="70" t="s">
        <v>39</v>
      </c>
      <c r="E48" s="30"/>
      <c r="F48" s="5"/>
      <c r="G48" s="26"/>
    </row>
    <row r="49" spans="1:8" ht="28.5" customHeight="1" x14ac:dyDescent="0.35">
      <c r="A49" s="4">
        <f>+A46+7</f>
        <v>45832</v>
      </c>
      <c r="B49" s="76" t="s">
        <v>60</v>
      </c>
      <c r="C49" s="122">
        <f>+C48+1</f>
        <v>25</v>
      </c>
      <c r="D49" s="124" t="s">
        <v>38</v>
      </c>
      <c r="E49" s="30"/>
      <c r="F49" s="5"/>
      <c r="G49" s="26"/>
      <c r="H49" s="30"/>
    </row>
    <row r="50" spans="1:8" ht="28.5" customHeight="1" x14ac:dyDescent="0.35">
      <c r="A50" s="89">
        <f>+A49+1</f>
        <v>45833</v>
      </c>
      <c r="B50" s="90"/>
      <c r="C50" s="126"/>
      <c r="D50" s="102" t="s">
        <v>77</v>
      </c>
      <c r="E50" s="92"/>
      <c r="F50" s="91">
        <v>6</v>
      </c>
      <c r="G50" s="93">
        <v>5</v>
      </c>
      <c r="H50" s="70"/>
    </row>
    <row r="51" spans="1:8" ht="28.5" customHeight="1" x14ac:dyDescent="0.35">
      <c r="A51" s="4">
        <f>+A48+7</f>
        <v>45834</v>
      </c>
      <c r="B51" s="76" t="s">
        <v>60</v>
      </c>
      <c r="C51" s="122">
        <f>+C49+1</f>
        <v>26</v>
      </c>
      <c r="D51" s="124" t="s">
        <v>38</v>
      </c>
      <c r="E51" s="30"/>
      <c r="F51" s="5"/>
      <c r="G51" s="26"/>
      <c r="H51" s="70"/>
    </row>
    <row r="52" spans="1:8" ht="28.5" customHeight="1" x14ac:dyDescent="0.35">
      <c r="A52" s="4">
        <f>+A49+7</f>
        <v>45839</v>
      </c>
      <c r="B52" s="76" t="s">
        <v>60</v>
      </c>
      <c r="C52" s="122">
        <f>+C51+1</f>
        <v>27</v>
      </c>
      <c r="D52" s="70" t="s">
        <v>42</v>
      </c>
      <c r="E52" s="30"/>
      <c r="F52" s="5"/>
      <c r="G52" s="26"/>
      <c r="H52" s="30"/>
    </row>
    <row r="53" spans="1:8" ht="28.5" customHeight="1" x14ac:dyDescent="0.35">
      <c r="A53" s="89">
        <f>+A52+1</f>
        <v>45840</v>
      </c>
      <c r="B53" s="90"/>
      <c r="C53" s="126"/>
      <c r="D53" s="102" t="s">
        <v>75</v>
      </c>
      <c r="E53" s="92"/>
      <c r="F53" s="91"/>
      <c r="G53" s="93">
        <v>6</v>
      </c>
      <c r="H53" s="70"/>
    </row>
    <row r="54" spans="1:8" ht="28.5" customHeight="1" x14ac:dyDescent="0.35">
      <c r="A54" s="4">
        <f>+A51+7</f>
        <v>45841</v>
      </c>
      <c r="B54" s="76" t="s">
        <v>60</v>
      </c>
      <c r="C54" s="122">
        <f>+C52+1</f>
        <v>28</v>
      </c>
      <c r="D54" s="125" t="s">
        <v>43</v>
      </c>
      <c r="E54" s="42"/>
      <c r="F54" s="5"/>
      <c r="G54" s="26"/>
      <c r="H54" s="70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1140C-98DF-4A5F-AB4A-8A3A9E2DC345}">
  <dimension ref="A1:J54"/>
  <sheetViews>
    <sheetView zoomScale="80" zoomScaleNormal="80" workbookViewId="0">
      <selection activeCell="A4" sqref="A4"/>
    </sheetView>
  </sheetViews>
  <sheetFormatPr defaultColWidth="11.54296875" defaultRowHeight="24" customHeight="1" x14ac:dyDescent="0.35"/>
  <cols>
    <col min="1" max="1" width="41.08984375" customWidth="1"/>
    <col min="2" max="2" width="11" customWidth="1"/>
    <col min="3" max="3" width="64.54296875" customWidth="1"/>
    <col min="4" max="6" width="33.08984375" customWidth="1"/>
  </cols>
  <sheetData>
    <row r="1" spans="1:10" ht="33.75" customHeight="1" thickBot="1" x14ac:dyDescent="0.8">
      <c r="A1" s="127"/>
      <c r="B1" s="127"/>
      <c r="C1" s="127"/>
      <c r="D1" s="127"/>
      <c r="E1" s="127"/>
      <c r="F1" s="127"/>
    </row>
    <row r="2" spans="1:10" ht="24" customHeight="1" thickBot="1" x14ac:dyDescent="0.4">
      <c r="A2" s="6"/>
      <c r="B2" s="7"/>
      <c r="C2" s="7"/>
      <c r="D2" s="7"/>
      <c r="E2" s="8" t="s">
        <v>0</v>
      </c>
      <c r="F2" s="9"/>
    </row>
    <row r="3" spans="1:10" ht="24" customHeight="1" thickBot="1" x14ac:dyDescent="0.4">
      <c r="A3" s="11" t="s">
        <v>1</v>
      </c>
      <c r="B3" s="12" t="s">
        <v>2</v>
      </c>
      <c r="C3" s="12" t="s">
        <v>3</v>
      </c>
      <c r="D3" s="12" t="s">
        <v>4</v>
      </c>
      <c r="E3" s="13" t="s">
        <v>5</v>
      </c>
      <c r="F3" s="12" t="s">
        <v>6</v>
      </c>
    </row>
    <row r="4" spans="1:10" ht="24" customHeight="1" x14ac:dyDescent="0.35">
      <c r="A4" s="54">
        <v>45363</v>
      </c>
      <c r="B4" s="55"/>
      <c r="C4" s="56"/>
      <c r="D4" s="56"/>
      <c r="E4" s="55"/>
      <c r="F4" s="55"/>
      <c r="I4" s="61" t="s">
        <v>33</v>
      </c>
    </row>
    <row r="5" spans="1:10" ht="24" customHeight="1" x14ac:dyDescent="0.35">
      <c r="A5" s="57">
        <f>+A4+2</f>
        <v>45365</v>
      </c>
      <c r="B5" s="58"/>
      <c r="C5" s="59"/>
      <c r="D5" s="59"/>
      <c r="E5" s="58"/>
      <c r="F5" s="58"/>
      <c r="I5" s="61" t="s">
        <v>33</v>
      </c>
    </row>
    <row r="6" spans="1:10" ht="24" customHeight="1" x14ac:dyDescent="0.35">
      <c r="A6" s="57">
        <f>+A5+1</f>
        <v>45366</v>
      </c>
      <c r="B6" s="58"/>
      <c r="C6" s="60"/>
      <c r="D6" s="59"/>
      <c r="E6" s="58"/>
      <c r="F6" s="58"/>
      <c r="I6" s="61" t="s">
        <v>33</v>
      </c>
    </row>
    <row r="7" spans="1:10" ht="28.5" customHeight="1" x14ac:dyDescent="0.35">
      <c r="A7" s="57">
        <f>+A4+7</f>
        <v>45370</v>
      </c>
      <c r="B7" s="58"/>
      <c r="C7" s="59"/>
      <c r="D7" s="59"/>
      <c r="E7" s="58"/>
      <c r="F7" s="58"/>
      <c r="I7" s="61" t="s">
        <v>33</v>
      </c>
    </row>
    <row r="8" spans="1:10" ht="28.5" customHeight="1" x14ac:dyDescent="0.35">
      <c r="A8" s="57">
        <f>+A5+7</f>
        <v>45372</v>
      </c>
      <c r="B8" s="58"/>
      <c r="C8" s="59"/>
      <c r="D8" s="59"/>
      <c r="E8" s="58"/>
      <c r="F8" s="58"/>
      <c r="I8" s="61" t="s">
        <v>33</v>
      </c>
    </row>
    <row r="9" spans="1:10" ht="28.5" customHeight="1" x14ac:dyDescent="0.35">
      <c r="A9" s="57">
        <f>+A8+1</f>
        <v>45373</v>
      </c>
      <c r="B9" s="58"/>
      <c r="C9" s="60"/>
      <c r="D9" s="59"/>
      <c r="E9" s="58"/>
      <c r="F9" s="58"/>
      <c r="I9" s="61" t="s">
        <v>33</v>
      </c>
    </row>
    <row r="10" spans="1:10" ht="28.5" customHeight="1" x14ac:dyDescent="0.35">
      <c r="A10" s="20">
        <f t="shared" ref="A10:A54" si="0">+A7+7</f>
        <v>45377</v>
      </c>
      <c r="B10" s="23">
        <v>1</v>
      </c>
      <c r="C10" s="24" t="s">
        <v>7</v>
      </c>
      <c r="D10" s="24" t="s">
        <v>8</v>
      </c>
      <c r="E10" s="23"/>
      <c r="F10" s="25"/>
      <c r="J10" t="s">
        <v>45</v>
      </c>
    </row>
    <row r="11" spans="1:10" ht="28.5" customHeight="1" x14ac:dyDescent="0.35">
      <c r="A11" s="21">
        <f t="shared" si="0"/>
        <v>45379</v>
      </c>
      <c r="B11" s="5">
        <f>+B10+1</f>
        <v>2</v>
      </c>
      <c r="C11" s="1" t="s">
        <v>28</v>
      </c>
      <c r="D11" s="1" t="s">
        <v>9</v>
      </c>
      <c r="E11" s="5"/>
      <c r="F11" s="26"/>
    </row>
    <row r="12" spans="1:10" ht="28.5" customHeight="1" x14ac:dyDescent="0.35">
      <c r="A12" s="21">
        <f t="shared" si="0"/>
        <v>45380</v>
      </c>
      <c r="B12" s="5"/>
      <c r="C12" s="10"/>
      <c r="D12" s="1"/>
      <c r="E12" s="5">
        <v>1</v>
      </c>
      <c r="F12" s="26"/>
    </row>
    <row r="13" spans="1:10" ht="28.5" customHeight="1" x14ac:dyDescent="0.35">
      <c r="A13" s="62">
        <f t="shared" si="0"/>
        <v>45384</v>
      </c>
      <c r="B13" s="58"/>
      <c r="C13" s="59"/>
      <c r="D13" s="59"/>
      <c r="E13" s="58"/>
      <c r="F13" s="63"/>
      <c r="I13" s="61" t="s">
        <v>34</v>
      </c>
    </row>
    <row r="14" spans="1:10" ht="28.5" customHeight="1" x14ac:dyDescent="0.35">
      <c r="A14" s="62">
        <f t="shared" si="0"/>
        <v>45386</v>
      </c>
      <c r="B14" s="58"/>
      <c r="C14" s="59"/>
      <c r="D14" s="59"/>
      <c r="E14" s="58"/>
      <c r="F14" s="63"/>
      <c r="I14" s="61" t="s">
        <v>34</v>
      </c>
    </row>
    <row r="15" spans="1:10" ht="28.5" customHeight="1" x14ac:dyDescent="0.35">
      <c r="A15" s="62">
        <f t="shared" si="0"/>
        <v>45387</v>
      </c>
      <c r="B15" s="58"/>
      <c r="C15" s="60"/>
      <c r="D15" s="59"/>
      <c r="E15" s="58"/>
      <c r="F15" s="63"/>
      <c r="I15" s="61" t="s">
        <v>34</v>
      </c>
    </row>
    <row r="16" spans="1:10" ht="28.5" customHeight="1" x14ac:dyDescent="0.35">
      <c r="A16" s="21">
        <f t="shared" si="0"/>
        <v>45391</v>
      </c>
      <c r="B16" s="5">
        <f>+B11+1</f>
        <v>3</v>
      </c>
      <c r="C16" s="30" t="s">
        <v>10</v>
      </c>
      <c r="D16" s="30" t="s">
        <v>11</v>
      </c>
      <c r="E16" s="5"/>
      <c r="F16" s="26"/>
      <c r="G16" t="s">
        <v>47</v>
      </c>
    </row>
    <row r="17" spans="1:9" ht="28.5" customHeight="1" x14ac:dyDescent="0.35">
      <c r="A17" s="21">
        <f t="shared" si="0"/>
        <v>45393</v>
      </c>
      <c r="B17" s="5">
        <f>+B16+1</f>
        <v>4</v>
      </c>
      <c r="C17" s="30" t="s">
        <v>12</v>
      </c>
      <c r="D17" s="30" t="s">
        <v>13</v>
      </c>
      <c r="E17" s="5"/>
      <c r="F17" s="26"/>
      <c r="G17" t="s">
        <v>46</v>
      </c>
    </row>
    <row r="18" spans="1:9" ht="28.5" customHeight="1" x14ac:dyDescent="0.35">
      <c r="A18" s="21">
        <f t="shared" si="0"/>
        <v>45394</v>
      </c>
      <c r="B18" s="5"/>
      <c r="C18" s="30"/>
      <c r="D18" s="30"/>
      <c r="E18" s="5"/>
      <c r="F18" s="26"/>
    </row>
    <row r="19" spans="1:9" ht="28.5" customHeight="1" x14ac:dyDescent="0.35">
      <c r="A19" s="44">
        <f t="shared" si="0"/>
        <v>45398</v>
      </c>
      <c r="B19" s="16">
        <v>5</v>
      </c>
      <c r="C19" s="30" t="s">
        <v>14</v>
      </c>
      <c r="D19" s="30" t="s">
        <v>15</v>
      </c>
      <c r="E19" s="16"/>
      <c r="F19" s="45"/>
    </row>
    <row r="20" spans="1:9" ht="28.5" customHeight="1" x14ac:dyDescent="0.35">
      <c r="A20" s="44">
        <f t="shared" si="0"/>
        <v>45400</v>
      </c>
      <c r="B20" s="16">
        <v>6</v>
      </c>
      <c r="C20" s="30" t="s">
        <v>25</v>
      </c>
      <c r="D20" s="30" t="s">
        <v>16</v>
      </c>
      <c r="E20" s="16"/>
      <c r="F20" s="45"/>
      <c r="G20" t="s">
        <v>48</v>
      </c>
    </row>
    <row r="21" spans="1:9" ht="28.5" customHeight="1" x14ac:dyDescent="0.35">
      <c r="A21" s="44">
        <f t="shared" si="0"/>
        <v>45401</v>
      </c>
      <c r="B21" s="16"/>
      <c r="C21" s="17"/>
      <c r="D21" s="17"/>
      <c r="E21" s="16">
        <v>2</v>
      </c>
      <c r="F21" s="45">
        <v>1</v>
      </c>
    </row>
    <row r="22" spans="1:9" ht="28.5" customHeight="1" x14ac:dyDescent="0.35">
      <c r="A22" s="21">
        <f t="shared" si="0"/>
        <v>45405</v>
      </c>
      <c r="B22" s="5">
        <v>7</v>
      </c>
      <c r="C22" s="30" t="s">
        <v>17</v>
      </c>
      <c r="D22" s="30" t="s">
        <v>18</v>
      </c>
      <c r="E22" s="5"/>
      <c r="F22" s="26"/>
      <c r="G22" t="s">
        <v>49</v>
      </c>
    </row>
    <row r="23" spans="1:9" ht="28.5" customHeight="1" x14ac:dyDescent="0.35">
      <c r="A23" s="21">
        <f t="shared" si="0"/>
        <v>45407</v>
      </c>
      <c r="B23" s="5">
        <v>8</v>
      </c>
      <c r="C23" s="30" t="s">
        <v>19</v>
      </c>
      <c r="D23" s="30" t="s">
        <v>20</v>
      </c>
      <c r="E23" s="5"/>
      <c r="F23" s="26"/>
      <c r="G23" t="s">
        <v>51</v>
      </c>
    </row>
    <row r="24" spans="1:9" ht="28.5" customHeight="1" x14ac:dyDescent="0.35">
      <c r="A24" s="28">
        <f t="shared" si="0"/>
        <v>45408</v>
      </c>
      <c r="B24" s="14"/>
      <c r="C24" s="30"/>
      <c r="D24" s="30"/>
      <c r="E24" s="14"/>
      <c r="F24" s="27"/>
    </row>
    <row r="25" spans="1:9" ht="28.5" customHeight="1" x14ac:dyDescent="0.35">
      <c r="A25" s="2">
        <f t="shared" si="0"/>
        <v>45412</v>
      </c>
      <c r="B25" s="39"/>
      <c r="C25" s="46"/>
      <c r="D25" s="46"/>
      <c r="E25" s="47"/>
      <c r="F25" s="3"/>
      <c r="I25" s="15" t="s">
        <v>32</v>
      </c>
    </row>
    <row r="26" spans="1:9" ht="28.5" customHeight="1" x14ac:dyDescent="0.35">
      <c r="A26" s="2">
        <f t="shared" si="0"/>
        <v>45414</v>
      </c>
      <c r="B26" s="39"/>
      <c r="C26" s="36"/>
      <c r="D26" s="36"/>
      <c r="E26" s="33"/>
      <c r="F26" s="3"/>
      <c r="I26" s="15" t="s">
        <v>32</v>
      </c>
    </row>
    <row r="27" spans="1:9" ht="28.5" customHeight="1" x14ac:dyDescent="0.35">
      <c r="A27" s="2">
        <f t="shared" si="0"/>
        <v>45415</v>
      </c>
      <c r="B27" s="39"/>
      <c r="C27" s="48"/>
      <c r="D27" s="36"/>
      <c r="E27" s="33"/>
      <c r="F27" s="3"/>
      <c r="I27" s="15" t="s">
        <v>32</v>
      </c>
    </row>
    <row r="28" spans="1:9" ht="28.5" customHeight="1" x14ac:dyDescent="0.35">
      <c r="A28" s="4">
        <f t="shared" si="0"/>
        <v>45419</v>
      </c>
      <c r="B28" s="37">
        <v>9</v>
      </c>
      <c r="C28" s="30" t="s">
        <v>29</v>
      </c>
      <c r="D28" s="30" t="s">
        <v>22</v>
      </c>
      <c r="E28" s="22"/>
      <c r="F28" s="5"/>
      <c r="G28" s="30" t="s">
        <v>52</v>
      </c>
      <c r="H28" s="69" t="s">
        <v>53</v>
      </c>
    </row>
    <row r="29" spans="1:9" ht="28.5" customHeight="1" x14ac:dyDescent="0.35">
      <c r="A29" s="4">
        <f t="shared" si="0"/>
        <v>45421</v>
      </c>
      <c r="B29" s="37">
        <v>10</v>
      </c>
      <c r="C29" s="30" t="s">
        <v>21</v>
      </c>
      <c r="D29" s="30" t="s">
        <v>22</v>
      </c>
      <c r="E29" s="22"/>
      <c r="F29" s="5"/>
      <c r="G29" t="s">
        <v>50</v>
      </c>
    </row>
    <row r="30" spans="1:9" ht="28.5" customHeight="1" x14ac:dyDescent="0.35">
      <c r="A30" s="4">
        <f t="shared" si="0"/>
        <v>45422</v>
      </c>
      <c r="B30" s="37"/>
      <c r="C30" s="40" t="s">
        <v>27</v>
      </c>
      <c r="D30" s="30"/>
      <c r="E30" s="22">
        <v>3</v>
      </c>
      <c r="F30" s="5">
        <v>2</v>
      </c>
    </row>
    <row r="31" spans="1:9" ht="28.5" customHeight="1" x14ac:dyDescent="0.35">
      <c r="A31" s="4">
        <f t="shared" si="0"/>
        <v>45426</v>
      </c>
      <c r="B31" s="37">
        <v>11</v>
      </c>
      <c r="C31" s="29" t="s">
        <v>26</v>
      </c>
      <c r="D31" s="29" t="s">
        <v>23</v>
      </c>
      <c r="E31" s="22"/>
      <c r="F31" s="5"/>
      <c r="G31" s="30" t="s">
        <v>25</v>
      </c>
      <c r="H31" s="30" t="s">
        <v>12</v>
      </c>
    </row>
    <row r="32" spans="1:9" ht="28.5" customHeight="1" x14ac:dyDescent="0.35">
      <c r="A32" s="4">
        <f t="shared" si="0"/>
        <v>45428</v>
      </c>
      <c r="B32" s="37">
        <f>+B31+1</f>
        <v>12</v>
      </c>
      <c r="C32" s="30" t="s">
        <v>24</v>
      </c>
      <c r="D32" s="30" t="s">
        <v>23</v>
      </c>
      <c r="E32" s="22"/>
      <c r="F32" s="5"/>
      <c r="G32" s="30" t="s">
        <v>17</v>
      </c>
      <c r="H32" s="69" t="s">
        <v>54</v>
      </c>
    </row>
    <row r="33" spans="1:9" ht="28.5" customHeight="1" x14ac:dyDescent="0.35">
      <c r="A33" s="4">
        <f t="shared" si="0"/>
        <v>45429</v>
      </c>
      <c r="B33" s="37"/>
      <c r="C33" s="31"/>
      <c r="D33" s="30"/>
      <c r="E33" s="22"/>
      <c r="F33" s="5"/>
    </row>
    <row r="34" spans="1:9" ht="28.5" customHeight="1" x14ac:dyDescent="0.35">
      <c r="A34" s="18">
        <f t="shared" si="0"/>
        <v>45433</v>
      </c>
      <c r="B34" s="38"/>
      <c r="C34" s="35"/>
      <c r="D34" s="35"/>
      <c r="E34" s="32"/>
      <c r="F34" s="19"/>
    </row>
    <row r="35" spans="1:9" ht="28.5" customHeight="1" x14ac:dyDescent="0.35">
      <c r="A35" s="4">
        <f t="shared" si="0"/>
        <v>45435</v>
      </c>
      <c r="B35" s="67">
        <f>+B32+1</f>
        <v>13</v>
      </c>
      <c r="C35" s="65" t="s">
        <v>30</v>
      </c>
      <c r="D35" s="30" t="s">
        <v>35</v>
      </c>
      <c r="E35" s="22"/>
      <c r="F35" s="5"/>
      <c r="G35" s="29" t="s">
        <v>26</v>
      </c>
      <c r="H35" s="69" t="s">
        <v>55</v>
      </c>
    </row>
    <row r="36" spans="1:9" ht="28.5" customHeight="1" x14ac:dyDescent="0.35">
      <c r="A36" s="4">
        <f t="shared" si="0"/>
        <v>45436</v>
      </c>
      <c r="B36" s="67"/>
      <c r="C36" s="66"/>
      <c r="D36" s="30"/>
      <c r="E36" s="22"/>
      <c r="F36" s="5"/>
    </row>
    <row r="37" spans="1:9" ht="28.5" customHeight="1" x14ac:dyDescent="0.35">
      <c r="A37" s="4">
        <f t="shared" si="0"/>
        <v>45440</v>
      </c>
      <c r="B37" s="67">
        <f>+B35+1</f>
        <v>14</v>
      </c>
      <c r="C37" s="65" t="s">
        <v>30</v>
      </c>
      <c r="D37" s="30" t="s">
        <v>35</v>
      </c>
      <c r="E37" s="22"/>
      <c r="F37" s="5"/>
      <c r="G37" s="30" t="s">
        <v>24</v>
      </c>
      <c r="H37" s="69" t="s">
        <v>56</v>
      </c>
    </row>
    <row r="38" spans="1:9" ht="28.5" customHeight="1" x14ac:dyDescent="0.35">
      <c r="A38" s="4">
        <f t="shared" si="0"/>
        <v>45442</v>
      </c>
      <c r="B38" s="67">
        <f>+B37+1</f>
        <v>15</v>
      </c>
      <c r="C38" s="65" t="s">
        <v>36</v>
      </c>
      <c r="D38" s="30" t="s">
        <v>35</v>
      </c>
      <c r="E38" s="22"/>
      <c r="F38" s="5"/>
      <c r="G38" s="65" t="s">
        <v>30</v>
      </c>
      <c r="H38" s="69" t="s">
        <v>57</v>
      </c>
    </row>
    <row r="39" spans="1:9" ht="28.5" customHeight="1" x14ac:dyDescent="0.35">
      <c r="A39" s="4">
        <f t="shared" si="0"/>
        <v>45443</v>
      </c>
      <c r="B39" s="67"/>
      <c r="C39" s="66"/>
      <c r="D39" s="30"/>
      <c r="E39" s="22"/>
      <c r="F39" s="5"/>
    </row>
    <row r="40" spans="1:9" ht="28.5" customHeight="1" x14ac:dyDescent="0.35">
      <c r="A40" s="4">
        <f t="shared" si="0"/>
        <v>45447</v>
      </c>
      <c r="B40" s="67">
        <f>+B38+1</f>
        <v>16</v>
      </c>
      <c r="C40" s="65" t="s">
        <v>37</v>
      </c>
      <c r="D40" s="30"/>
      <c r="E40" s="22"/>
      <c r="F40" s="5"/>
      <c r="G40" s="65" t="s">
        <v>36</v>
      </c>
      <c r="H40" s="65" t="s">
        <v>30</v>
      </c>
    </row>
    <row r="41" spans="1:9" ht="28.5" customHeight="1" x14ac:dyDescent="0.35">
      <c r="A41" s="4">
        <f t="shared" si="0"/>
        <v>45449</v>
      </c>
      <c r="B41" s="67">
        <f>+B40+1</f>
        <v>17</v>
      </c>
      <c r="C41" s="65" t="s">
        <v>37</v>
      </c>
      <c r="D41" s="30"/>
      <c r="E41" s="22"/>
      <c r="F41" s="5"/>
      <c r="G41" s="65" t="s">
        <v>37</v>
      </c>
      <c r="H41" s="65" t="s">
        <v>36</v>
      </c>
    </row>
    <row r="42" spans="1:9" ht="28.5" customHeight="1" x14ac:dyDescent="0.35">
      <c r="A42" s="4">
        <f t="shared" si="0"/>
        <v>45450</v>
      </c>
      <c r="B42" s="67"/>
      <c r="C42" s="65"/>
      <c r="D42" s="30"/>
      <c r="E42" s="22"/>
      <c r="F42" s="5"/>
    </row>
    <row r="43" spans="1:9" ht="28.5" customHeight="1" x14ac:dyDescent="0.35">
      <c r="A43" s="4">
        <f t="shared" si="0"/>
        <v>45454</v>
      </c>
      <c r="B43" s="67">
        <f>+B41+1</f>
        <v>18</v>
      </c>
      <c r="C43" s="64" t="s">
        <v>38</v>
      </c>
      <c r="D43" s="30"/>
      <c r="E43" s="22"/>
      <c r="F43" s="5"/>
      <c r="I43" t="s">
        <v>44</v>
      </c>
    </row>
    <row r="44" spans="1:9" ht="28.5" customHeight="1" x14ac:dyDescent="0.35">
      <c r="A44" s="4">
        <f t="shared" si="0"/>
        <v>45456</v>
      </c>
      <c r="B44" s="67">
        <f>+B43+1</f>
        <v>19</v>
      </c>
      <c r="C44" s="64" t="s">
        <v>38</v>
      </c>
      <c r="D44" s="30"/>
      <c r="E44" s="22"/>
      <c r="F44" s="5"/>
      <c r="I44" t="s">
        <v>44</v>
      </c>
    </row>
    <row r="45" spans="1:9" ht="28.5" customHeight="1" x14ac:dyDescent="0.35">
      <c r="A45" s="4">
        <f t="shared" si="0"/>
        <v>45457</v>
      </c>
      <c r="B45" s="68"/>
      <c r="C45" s="66"/>
      <c r="D45" s="34"/>
      <c r="E45" s="34"/>
      <c r="I45" t="s">
        <v>44</v>
      </c>
    </row>
    <row r="46" spans="1:9" ht="28.5" customHeight="1" x14ac:dyDescent="0.35">
      <c r="A46" s="49">
        <f t="shared" si="0"/>
        <v>45461</v>
      </c>
      <c r="B46" s="47"/>
      <c r="C46" s="46"/>
      <c r="D46" s="46"/>
      <c r="E46" s="50"/>
      <c r="F46" s="51"/>
      <c r="I46" s="15" t="s">
        <v>32</v>
      </c>
    </row>
    <row r="47" spans="1:9" ht="28.5" customHeight="1" x14ac:dyDescent="0.35">
      <c r="A47" s="52">
        <f t="shared" si="0"/>
        <v>45463</v>
      </c>
      <c r="B47" s="33"/>
      <c r="C47" s="36"/>
      <c r="D47" s="36"/>
      <c r="E47" s="3"/>
      <c r="F47" s="53"/>
      <c r="I47" s="15" t="s">
        <v>32</v>
      </c>
    </row>
    <row r="48" spans="1:9" ht="28.5" customHeight="1" x14ac:dyDescent="0.35">
      <c r="A48" s="52">
        <f t="shared" si="0"/>
        <v>45464</v>
      </c>
      <c r="B48" s="33"/>
      <c r="C48" s="48"/>
      <c r="D48" s="36"/>
      <c r="E48" s="3"/>
      <c r="F48" s="53"/>
      <c r="I48" s="15" t="s">
        <v>32</v>
      </c>
    </row>
    <row r="49" spans="1:8" ht="28.5" customHeight="1" x14ac:dyDescent="0.35">
      <c r="A49" s="21">
        <f t="shared" si="0"/>
        <v>45468</v>
      </c>
      <c r="B49" s="22">
        <f>+B44+1</f>
        <v>20</v>
      </c>
      <c r="C49" s="30" t="s">
        <v>39</v>
      </c>
      <c r="D49" s="30"/>
      <c r="E49" s="5"/>
      <c r="F49" s="26"/>
      <c r="G49" s="65" t="s">
        <v>37</v>
      </c>
    </row>
    <row r="50" spans="1:8" ht="28.5" customHeight="1" x14ac:dyDescent="0.35">
      <c r="A50" s="21">
        <f t="shared" si="0"/>
        <v>45470</v>
      </c>
      <c r="B50" s="22">
        <f>+B49+1</f>
        <v>21</v>
      </c>
      <c r="C50" s="30" t="s">
        <v>40</v>
      </c>
      <c r="D50" s="30" t="s">
        <v>41</v>
      </c>
      <c r="E50" s="5"/>
      <c r="F50" s="26"/>
      <c r="G50" s="65" t="s">
        <v>37</v>
      </c>
    </row>
    <row r="51" spans="1:8" ht="28.5" customHeight="1" x14ac:dyDescent="0.35">
      <c r="A51" s="21">
        <f t="shared" si="0"/>
        <v>45471</v>
      </c>
      <c r="B51" s="22"/>
      <c r="C51" s="31"/>
      <c r="D51" s="30"/>
      <c r="E51" s="5"/>
      <c r="F51" s="26"/>
    </row>
    <row r="52" spans="1:8" ht="28.5" customHeight="1" x14ac:dyDescent="0.35">
      <c r="A52" s="21">
        <f t="shared" si="0"/>
        <v>45475</v>
      </c>
      <c r="B52" s="22">
        <f>+B50+1</f>
        <v>22</v>
      </c>
      <c r="C52" s="30" t="s">
        <v>42</v>
      </c>
      <c r="D52" s="30"/>
      <c r="E52" s="5"/>
      <c r="F52" s="26"/>
      <c r="G52" s="30" t="s">
        <v>40</v>
      </c>
      <c r="H52" t="s">
        <v>58</v>
      </c>
    </row>
    <row r="53" spans="1:8" ht="28.5" customHeight="1" x14ac:dyDescent="0.35">
      <c r="A53" s="21">
        <f t="shared" si="0"/>
        <v>45477</v>
      </c>
      <c r="B53" s="22">
        <f>+B52+1</f>
        <v>23</v>
      </c>
      <c r="C53" s="30" t="s">
        <v>43</v>
      </c>
      <c r="D53" s="30"/>
      <c r="E53" s="5"/>
      <c r="F53" s="26"/>
      <c r="G53" s="70" t="s">
        <v>40</v>
      </c>
      <c r="H53" t="s">
        <v>59</v>
      </c>
    </row>
    <row r="54" spans="1:8" ht="28.5" customHeight="1" x14ac:dyDescent="0.35">
      <c r="A54" s="28">
        <f t="shared" si="0"/>
        <v>45478</v>
      </c>
      <c r="B54" s="41"/>
      <c r="C54" s="43" t="s">
        <v>31</v>
      </c>
      <c r="D54" s="42"/>
      <c r="E54" s="14"/>
      <c r="F54" s="27"/>
    </row>
  </sheetData>
  <mergeCells count="1">
    <mergeCell ref="A1:F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2025</vt:lpstr>
      <vt:lpstr>2024</vt:lpstr>
    </vt:vector>
  </TitlesOfParts>
  <Company>Universidad de los Andes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Angelo</dc:creator>
  <cp:lastModifiedBy>C. Angelo Guevara</cp:lastModifiedBy>
  <cp:lastPrinted>2019-11-18T18:26:42Z</cp:lastPrinted>
  <dcterms:created xsi:type="dcterms:W3CDTF">2015-01-09T20:20:37Z</dcterms:created>
  <dcterms:modified xsi:type="dcterms:W3CDTF">2025-03-13T20:15:53Z</dcterms:modified>
</cp:coreProperties>
</file>